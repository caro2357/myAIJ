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357\Desktop\projects\财产转移\实验数据\新实验结果\enum\misere\enum_misere_20260617_223115\report\"/>
    </mc:Choice>
  </mc:AlternateContent>
  <xr:revisionPtr revIDLastSave="0" documentId="13_ncr:1_{887AA4A8-60CE-4900-AB09-2EAE220741E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1.sub" sheetId="2" r:id="rId2"/>
    <sheet name="2.nim" sheetId="3" r:id="rId3"/>
    <sheet name="3.welter" sheetId="4" r:id="rId4"/>
    <sheet name="4.wythoff" sheetId="5" r:id="rId5"/>
    <sheet name="5.chomp" sheetId="6" r:id="rId6"/>
    <sheet name="总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J43" i="1"/>
  <c r="G43" i="1"/>
  <c r="D43" i="1"/>
  <c r="K6" i="1"/>
  <c r="G6" i="1"/>
  <c r="J6" i="1"/>
  <c r="D6" i="1"/>
</calcChain>
</file>

<file path=xl/sharedStrings.xml><?xml version="1.0" encoding="utf-8"?>
<sst xmlns="http://schemas.openxmlformats.org/spreadsheetml/2006/main" count="146" uniqueCount="93">
  <si>
    <t>Enum (misere)</t>
  </si>
  <si>
    <t>1、Sub</t>
  </si>
  <si>
    <t>分类</t>
  </si>
  <si>
    <t>游戏个数</t>
  </si>
  <si>
    <t>解决个数-公式</t>
  </si>
  <si>
    <t>平均时间-公式</t>
  </si>
  <si>
    <t>平均大小-公式</t>
  </si>
  <si>
    <t>解决个数-策略</t>
  </si>
  <si>
    <t>平均时间-策略</t>
  </si>
  <si>
    <t>平均大小-策略</t>
  </si>
  <si>
    <t>成功率-公式</t>
  </si>
  <si>
    <t>成功率-策略</t>
  </si>
  <si>
    <t>1.1 Take-away</t>
  </si>
  <si>
    <t>1.2 Subtraction</t>
  </si>
  <si>
    <t>1.3 S, D-MarkGame</t>
  </si>
  <si>
    <t>汇总</t>
  </si>
  <si>
    <t>2、Nim</t>
  </si>
  <si>
    <t>2.1 Nim</t>
  </si>
  <si>
    <t>2.10 Small Nim</t>
  </si>
  <si>
    <t>2.11 Greedy Nim</t>
  </si>
  <si>
    <t>2.12 Odd-or-Even Nim</t>
  </si>
  <si>
    <t>2.13 Modular Nim</t>
  </si>
  <si>
    <t>2.14 Pointed Nim</t>
  </si>
  <si>
    <t>2.15 End Nim</t>
  </si>
  <si>
    <t>2.16 Loop End Nim</t>
  </si>
  <si>
    <t>2.17 Staircase Nim</t>
  </si>
  <si>
    <t>2.18 Circular Nim</t>
  </si>
  <si>
    <t>2.2 Monotonic Nim</t>
  </si>
  <si>
    <t>2.3 Empty and Transfer</t>
  </si>
  <si>
    <t>2.4 Empty All But One</t>
  </si>
  <si>
    <t>2.5 Empty and Redistribute</t>
  </si>
  <si>
    <t>2.6 Entropy Reduction Game</t>
  </si>
  <si>
    <t>2.7 Min Game</t>
  </si>
  <si>
    <t>2.8 l-Slow Nim</t>
  </si>
  <si>
    <t>2.9 Sharing Nim</t>
  </si>
  <si>
    <t>3、Welter</t>
  </si>
  <si>
    <t>3.1 Welter Game</t>
  </si>
  <si>
    <t>3.2 l-welter Game</t>
  </si>
  <si>
    <t>3.3 Max-Welter Game</t>
  </si>
  <si>
    <t>4、Wythoff</t>
  </si>
  <si>
    <t>4.1 Wythoff</t>
  </si>
  <si>
    <t>4.2 l-Wythoffff Game</t>
  </si>
  <si>
    <t>4.3 Monotonic_l_Diet_Game</t>
  </si>
  <si>
    <t>4.4 Wythoff_game_with_subtraction_Game</t>
  </si>
  <si>
    <t>4.5 Wythoff_game_with_a_function_Game</t>
  </si>
  <si>
    <t>4.6 st1_lm_restricted</t>
  </si>
  <si>
    <t>4.7 nd2_lm_restricted</t>
  </si>
  <si>
    <t>4.8 rd3_lm_restricted</t>
  </si>
  <si>
    <t>4.9 th4_lm_restricted</t>
  </si>
  <si>
    <t>5、Chomp</t>
  </si>
  <si>
    <t>5.1 Chomp game</t>
  </si>
  <si>
    <t>5.2 L-shaped Chomp Game</t>
  </si>
  <si>
    <t>解决个数</t>
  </si>
  <si>
    <t>Take-away</t>
  </si>
  <si>
    <t>Subtraction</t>
  </si>
  <si>
    <t>S, D-MarkGame</t>
  </si>
  <si>
    <t>Nim</t>
  </si>
  <si>
    <t>Small Nim</t>
  </si>
  <si>
    <t>Greedy Nim</t>
  </si>
  <si>
    <t>Odd-or-Even Nim</t>
  </si>
  <si>
    <t>Modular Nim</t>
  </si>
  <si>
    <t>Pointed Nim</t>
  </si>
  <si>
    <t>End Nim</t>
  </si>
  <si>
    <t>Loop End Nim</t>
  </si>
  <si>
    <t>Staircase Nim</t>
  </si>
  <si>
    <t>Circular Nim</t>
  </si>
  <si>
    <t>Monotonic Nim</t>
  </si>
  <si>
    <t>Empty and Transfer</t>
  </si>
  <si>
    <t>Empty All But One</t>
  </si>
  <si>
    <t>Empty and Redistribute</t>
  </si>
  <si>
    <t>Entropy Reduction Game</t>
  </si>
  <si>
    <t>Min Game</t>
  </si>
  <si>
    <t>l-Slow Nim</t>
  </si>
  <si>
    <t>Sharing Nim</t>
  </si>
  <si>
    <t>Welter Game</t>
  </si>
  <si>
    <t>l-welter Game</t>
  </si>
  <si>
    <t>Max-Welter Game</t>
  </si>
  <si>
    <t>Wythoff</t>
  </si>
  <si>
    <t>l-Wythoffff Game</t>
  </si>
  <si>
    <t>Monotonic_l_Diet_Game</t>
  </si>
  <si>
    <t>Wythoff_game_with_subtraction_Game</t>
  </si>
  <si>
    <t>Wythoff_game_with_a_function_Game</t>
  </si>
  <si>
    <t>st1_lm_restricted</t>
  </si>
  <si>
    <t>nd2_lm_restricted</t>
  </si>
  <si>
    <t>rd3_lm_restricted</t>
  </si>
  <si>
    <t>th4_lm_restricted</t>
  </si>
  <si>
    <t>Chomp game</t>
  </si>
  <si>
    <t>L-shaped Chomp Game</t>
  </si>
  <si>
    <t>1.sub</t>
  </si>
  <si>
    <t>2.nim</t>
  </si>
  <si>
    <t>3.welter</t>
  </si>
  <si>
    <t>4.wythoff</t>
  </si>
  <si>
    <t>5.chomp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</si>
</sst>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name val="宋体"/>
      <family val="3"/>
      <charset val="134"/>
    </font>
    <font>
      <sz val="10"/>
      <name val="Arial"/>
      <family val="2"/>
    </font>
    <font>
      <sz val="11"/>
      <name val="Arial"/>
      <family val="2"/>
    </font>
    <font>
      <sz val="10"/>
      <name val="宋体"/>
      <family val="3"/>
      <charset val="134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4" fillId="2" borderId="0" xfId="0" applyFont="1" applyFill="1" applyAlignment="1">
      <alignment horizontal="right"/>
    </xf>
    <xf numFmtId="0" fontId="6" fillId="2" borderId="0" xfId="0" applyFont="1" applyFill="1"/>
    <xf numFmtId="10" fontId="3" fillId="3" borderId="0" xfId="0" applyNumberFormat="1" applyFont="1" applyFill="1"/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G49" sqref="G49"/>
    </sheetView>
  </sheetViews>
  <sheetFormatPr defaultRowHeight="13.5" x14ac:dyDescent="0.15"/>
  <cols>
    <col min="1" max="1" width="11.125" bestFit="1" customWidth="1"/>
    <col min="2" max="2" width="39.5" bestFit="1" customWidth="1"/>
    <col min="3" max="3" width="9.75" bestFit="1" customWidth="1"/>
    <col min="4" max="9" width="15.375" bestFit="1" customWidth="1"/>
    <col min="10" max="11" width="13.125" bestFit="1" customWidth="1"/>
  </cols>
  <sheetData>
    <row r="1" spans="1:11" ht="20.2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4.25" x14ac:dyDescent="0.2">
      <c r="A3" s="4"/>
      <c r="B3" s="5" t="s">
        <v>12</v>
      </c>
      <c r="C3" s="5">
        <v>30</v>
      </c>
      <c r="D3" s="5">
        <v>30</v>
      </c>
      <c r="E3" s="5">
        <v>5.13</v>
      </c>
      <c r="F3" s="5">
        <v>3</v>
      </c>
      <c r="G3" s="5">
        <v>30</v>
      </c>
      <c r="H3" s="5">
        <v>10.64</v>
      </c>
      <c r="I3" s="5">
        <v>93</v>
      </c>
      <c r="J3" s="6"/>
      <c r="K3" s="6"/>
    </row>
    <row r="4" spans="1:11" ht="14.25" x14ac:dyDescent="0.2">
      <c r="A4" s="4"/>
      <c r="B4" s="5" t="s">
        <v>13</v>
      </c>
      <c r="C4" s="5">
        <v>385</v>
      </c>
      <c r="D4" s="5">
        <v>96</v>
      </c>
      <c r="E4" s="5">
        <v>19.18</v>
      </c>
      <c r="F4" s="5">
        <v>16.25</v>
      </c>
      <c r="G4" s="5">
        <v>94</v>
      </c>
      <c r="H4" s="5">
        <v>0.66</v>
      </c>
      <c r="I4" s="5">
        <v>64.900000000000006</v>
      </c>
      <c r="J4" s="6"/>
      <c r="K4" s="6"/>
    </row>
    <row r="5" spans="1:11" ht="14.25" x14ac:dyDescent="0.2">
      <c r="A5" s="4"/>
      <c r="B5" s="5" t="s">
        <v>14</v>
      </c>
      <c r="C5" s="5">
        <v>64</v>
      </c>
      <c r="D5" s="5">
        <v>52</v>
      </c>
      <c r="E5" s="5">
        <v>0.74</v>
      </c>
      <c r="F5" s="5">
        <v>3</v>
      </c>
      <c r="G5" s="5">
        <v>52</v>
      </c>
      <c r="H5" s="5">
        <v>0.32</v>
      </c>
      <c r="I5" s="5">
        <v>29.08</v>
      </c>
      <c r="J5" s="6"/>
      <c r="K5" s="6"/>
    </row>
    <row r="6" spans="1:11" ht="15" x14ac:dyDescent="0.25">
      <c r="A6" s="4"/>
      <c r="B6" s="7" t="s">
        <v>15</v>
      </c>
      <c r="C6" s="8">
        <v>479</v>
      </c>
      <c r="D6" s="8">
        <f>SUM(D3:D5)</f>
        <v>178</v>
      </c>
      <c r="E6" s="8">
        <v>16.100000000000001</v>
      </c>
      <c r="F6" s="8">
        <v>13.83</v>
      </c>
      <c r="G6" s="8">
        <f>SUM(G3:G5)</f>
        <v>176</v>
      </c>
      <c r="H6" s="8">
        <v>1.29</v>
      </c>
      <c r="I6" s="8">
        <v>62.61</v>
      </c>
      <c r="J6" s="9">
        <f>D6/C6</f>
        <v>0.37160751565762007</v>
      </c>
      <c r="K6" s="9">
        <f>G6/C6</f>
        <v>0.36743215031315241</v>
      </c>
    </row>
    <row r="7" spans="1:11" ht="14.25" x14ac:dyDescent="0.2">
      <c r="A7" s="2" t="s">
        <v>16</v>
      </c>
      <c r="B7" s="5" t="s">
        <v>17</v>
      </c>
      <c r="C7" s="5">
        <v>7</v>
      </c>
      <c r="D7" s="5">
        <v>1</v>
      </c>
      <c r="E7" s="5">
        <v>5.51</v>
      </c>
      <c r="F7" s="5">
        <v>9</v>
      </c>
      <c r="G7" s="5">
        <v>1</v>
      </c>
      <c r="H7" s="5">
        <v>2.08</v>
      </c>
      <c r="I7" s="5">
        <v>26</v>
      </c>
      <c r="J7" s="6"/>
      <c r="K7" s="6"/>
    </row>
    <row r="8" spans="1:11" ht="14.25" x14ac:dyDescent="0.2">
      <c r="A8" s="2"/>
      <c r="B8" s="5" t="s">
        <v>18</v>
      </c>
      <c r="C8" s="5">
        <v>7</v>
      </c>
      <c r="D8" s="5">
        <v>2</v>
      </c>
      <c r="E8" s="5">
        <v>92.79</v>
      </c>
      <c r="F8" s="5">
        <v>13.5</v>
      </c>
      <c r="G8" s="5">
        <v>2</v>
      </c>
      <c r="H8" s="5">
        <v>1.4</v>
      </c>
      <c r="I8" s="5">
        <v>29.5</v>
      </c>
      <c r="J8" s="6"/>
      <c r="K8" s="6"/>
    </row>
    <row r="9" spans="1:11" ht="14.25" x14ac:dyDescent="0.2">
      <c r="A9" s="2"/>
      <c r="B9" s="5" t="s">
        <v>19</v>
      </c>
      <c r="C9" s="5">
        <v>7</v>
      </c>
      <c r="D9" s="5">
        <v>2</v>
      </c>
      <c r="E9" s="5">
        <v>103.3</v>
      </c>
      <c r="F9" s="5">
        <v>11</v>
      </c>
      <c r="G9" s="5">
        <v>2</v>
      </c>
      <c r="H9" s="5">
        <v>2.0099999999999998</v>
      </c>
      <c r="I9" s="5">
        <v>47</v>
      </c>
      <c r="J9" s="6"/>
      <c r="K9" s="6"/>
    </row>
    <row r="10" spans="1:11" ht="14.25" x14ac:dyDescent="0.2">
      <c r="A10" s="2"/>
      <c r="B10" s="5" t="s">
        <v>20</v>
      </c>
      <c r="C10" s="5">
        <v>7</v>
      </c>
      <c r="D10" s="5">
        <v>2</v>
      </c>
      <c r="E10" s="5">
        <v>18.96</v>
      </c>
      <c r="F10" s="5">
        <v>8.5</v>
      </c>
      <c r="G10" s="5">
        <v>2</v>
      </c>
      <c r="H10" s="5">
        <v>0.66</v>
      </c>
      <c r="I10" s="5">
        <v>22.5</v>
      </c>
      <c r="J10" s="6"/>
      <c r="K10" s="6"/>
    </row>
    <row r="11" spans="1:11" ht="14.25" x14ac:dyDescent="0.2">
      <c r="A11" s="2"/>
      <c r="B11" s="5" t="s">
        <v>21</v>
      </c>
      <c r="C11" s="5">
        <v>5</v>
      </c>
      <c r="D11" s="5">
        <v>1</v>
      </c>
      <c r="E11" s="5">
        <v>1.25</v>
      </c>
      <c r="F11" s="5">
        <v>4</v>
      </c>
      <c r="G11" s="5">
        <v>1</v>
      </c>
      <c r="H11" s="5">
        <v>0.54</v>
      </c>
      <c r="I11" s="5">
        <v>14</v>
      </c>
      <c r="J11" s="6"/>
      <c r="K11" s="10"/>
    </row>
    <row r="12" spans="1:11" ht="14.25" x14ac:dyDescent="0.2">
      <c r="A12" s="2"/>
      <c r="B12" s="5" t="s">
        <v>22</v>
      </c>
      <c r="C12" s="5">
        <v>7</v>
      </c>
      <c r="D12" s="5">
        <v>0</v>
      </c>
      <c r="E12" s="5"/>
      <c r="F12" s="5"/>
      <c r="G12" s="5">
        <v>0</v>
      </c>
      <c r="H12" s="5"/>
      <c r="I12" s="5"/>
      <c r="J12" s="6"/>
      <c r="K12" s="6"/>
    </row>
    <row r="13" spans="1:11" ht="14.25" x14ac:dyDescent="0.2">
      <c r="A13" s="2"/>
      <c r="B13" s="5" t="s">
        <v>23</v>
      </c>
      <c r="C13" s="5">
        <v>7</v>
      </c>
      <c r="D13" s="5">
        <v>1</v>
      </c>
      <c r="E13" s="5">
        <v>2.74</v>
      </c>
      <c r="F13" s="5">
        <v>8</v>
      </c>
      <c r="G13" s="5">
        <v>1</v>
      </c>
      <c r="H13" s="5">
        <v>1.25</v>
      </c>
      <c r="I13" s="5">
        <v>12</v>
      </c>
      <c r="J13" s="6"/>
      <c r="K13" s="6"/>
    </row>
    <row r="14" spans="1:11" ht="14.25" x14ac:dyDescent="0.2">
      <c r="A14" s="2"/>
      <c r="B14" s="5" t="s">
        <v>24</v>
      </c>
      <c r="C14" s="5">
        <v>7</v>
      </c>
      <c r="D14" s="5">
        <v>1</v>
      </c>
      <c r="E14" s="5">
        <v>34.659999999999997</v>
      </c>
      <c r="F14" s="5">
        <v>13</v>
      </c>
      <c r="G14" s="5">
        <v>1</v>
      </c>
      <c r="H14" s="5">
        <v>1.1499999999999999</v>
      </c>
      <c r="I14" s="5">
        <v>16</v>
      </c>
      <c r="J14" s="6"/>
      <c r="K14" s="6"/>
    </row>
    <row r="15" spans="1:11" ht="14.25" x14ac:dyDescent="0.2">
      <c r="A15" s="2"/>
      <c r="B15" s="5" t="s">
        <v>25</v>
      </c>
      <c r="C15" s="5">
        <v>7</v>
      </c>
      <c r="D15" s="5">
        <v>7</v>
      </c>
      <c r="E15" s="5">
        <v>64.56</v>
      </c>
      <c r="F15" s="5">
        <v>6.86</v>
      </c>
      <c r="G15" s="5">
        <v>7</v>
      </c>
      <c r="H15" s="5">
        <v>3.39</v>
      </c>
      <c r="I15" s="5">
        <v>49</v>
      </c>
      <c r="J15" s="6"/>
      <c r="K15" s="6"/>
    </row>
    <row r="16" spans="1:11" ht="14.25" x14ac:dyDescent="0.2">
      <c r="A16" s="2"/>
      <c r="B16" s="5" t="s">
        <v>26</v>
      </c>
      <c r="C16" s="5">
        <v>15</v>
      </c>
      <c r="D16" s="5">
        <v>5</v>
      </c>
      <c r="E16" s="5">
        <v>3.3</v>
      </c>
      <c r="F16" s="5">
        <v>4.5999999999999996</v>
      </c>
      <c r="G16" s="5">
        <v>4</v>
      </c>
      <c r="H16" s="5">
        <v>231.2</v>
      </c>
      <c r="I16" s="5">
        <v>18</v>
      </c>
      <c r="J16" s="6"/>
      <c r="K16" s="6"/>
    </row>
    <row r="17" spans="1:11" ht="14.25" x14ac:dyDescent="0.2">
      <c r="A17" s="2"/>
      <c r="B17" s="5" t="s">
        <v>27</v>
      </c>
      <c r="C17" s="5">
        <v>7</v>
      </c>
      <c r="D17" s="5">
        <v>4</v>
      </c>
      <c r="E17" s="5">
        <v>126.91</v>
      </c>
      <c r="F17" s="5">
        <v>8</v>
      </c>
      <c r="G17" s="5">
        <v>4</v>
      </c>
      <c r="H17" s="5">
        <v>2.02</v>
      </c>
      <c r="I17" s="5">
        <v>34.75</v>
      </c>
      <c r="J17" s="6"/>
      <c r="K17" s="6"/>
    </row>
    <row r="18" spans="1:11" ht="14.25" x14ac:dyDescent="0.2">
      <c r="A18" s="2"/>
      <c r="B18" s="5" t="s">
        <v>28</v>
      </c>
      <c r="C18" s="5">
        <v>7</v>
      </c>
      <c r="D18" s="5">
        <v>0</v>
      </c>
      <c r="E18" s="5"/>
      <c r="F18" s="5"/>
      <c r="G18" s="5">
        <v>0</v>
      </c>
      <c r="H18" s="5"/>
      <c r="I18" s="5"/>
      <c r="J18" s="6"/>
      <c r="K18" s="6"/>
    </row>
    <row r="19" spans="1:11" ht="14.25" x14ac:dyDescent="0.2">
      <c r="A19" s="2"/>
      <c r="B19" s="5" t="s">
        <v>29</v>
      </c>
      <c r="C19" s="5">
        <v>6</v>
      </c>
      <c r="D19" s="5">
        <v>0</v>
      </c>
      <c r="E19" s="5"/>
      <c r="F19" s="5"/>
      <c r="G19" s="5">
        <v>0</v>
      </c>
      <c r="H19" s="5"/>
      <c r="I19" s="5"/>
      <c r="J19" s="6"/>
      <c r="K19" s="6"/>
    </row>
    <row r="20" spans="1:11" ht="14.25" x14ac:dyDescent="0.2">
      <c r="A20" s="2"/>
      <c r="B20" s="5" t="s">
        <v>30</v>
      </c>
      <c r="C20" s="5">
        <v>6</v>
      </c>
      <c r="D20" s="5">
        <v>0</v>
      </c>
      <c r="E20" s="5"/>
      <c r="F20" s="5"/>
      <c r="G20" s="5">
        <v>0</v>
      </c>
      <c r="H20" s="5"/>
      <c r="I20" s="5"/>
      <c r="J20" s="6"/>
      <c r="K20" s="6"/>
    </row>
    <row r="21" spans="1:11" ht="14.25" x14ac:dyDescent="0.2">
      <c r="A21" s="2"/>
      <c r="B21" s="5" t="s">
        <v>31</v>
      </c>
      <c r="C21" s="5">
        <v>7</v>
      </c>
      <c r="D21" s="5">
        <v>0</v>
      </c>
      <c r="E21" s="5"/>
      <c r="F21" s="5"/>
      <c r="G21" s="5">
        <v>0</v>
      </c>
      <c r="H21" s="5"/>
      <c r="I21" s="5"/>
      <c r="J21" s="6"/>
      <c r="K21" s="6"/>
    </row>
    <row r="22" spans="1:11" ht="14.25" x14ac:dyDescent="0.2">
      <c r="A22" s="2"/>
      <c r="B22" s="5" t="s">
        <v>32</v>
      </c>
      <c r="C22" s="5">
        <v>6</v>
      </c>
      <c r="D22" s="5">
        <v>1</v>
      </c>
      <c r="E22" s="5">
        <v>3.42</v>
      </c>
      <c r="F22" s="5">
        <v>6</v>
      </c>
      <c r="G22" s="5">
        <v>1</v>
      </c>
      <c r="H22" s="5">
        <v>0.49</v>
      </c>
      <c r="I22" s="5">
        <v>11</v>
      </c>
      <c r="J22" s="6"/>
      <c r="K22" s="6"/>
    </row>
    <row r="23" spans="1:11" ht="14.25" x14ac:dyDescent="0.2">
      <c r="A23" s="2"/>
      <c r="B23" s="5" t="s">
        <v>33</v>
      </c>
      <c r="C23" s="5">
        <v>180</v>
      </c>
      <c r="D23" s="5">
        <v>7</v>
      </c>
      <c r="E23" s="5">
        <v>1.36</v>
      </c>
      <c r="F23" s="5">
        <v>4.71</v>
      </c>
      <c r="G23" s="5">
        <v>7</v>
      </c>
      <c r="H23" s="5">
        <v>0.37</v>
      </c>
      <c r="I23" s="5">
        <v>22</v>
      </c>
      <c r="J23" s="6"/>
      <c r="K23" s="6"/>
    </row>
    <row r="24" spans="1:11" ht="14.25" x14ac:dyDescent="0.2">
      <c r="A24" s="2"/>
      <c r="B24" s="5" t="s">
        <v>34</v>
      </c>
      <c r="C24" s="5">
        <v>7</v>
      </c>
      <c r="D24" s="5">
        <v>4</v>
      </c>
      <c r="E24" s="5">
        <v>11.22</v>
      </c>
      <c r="F24" s="5">
        <v>6.5</v>
      </c>
      <c r="G24" s="5">
        <v>3</v>
      </c>
      <c r="H24" s="5">
        <v>0.24</v>
      </c>
      <c r="I24" s="5">
        <v>11.33</v>
      </c>
      <c r="J24" s="6"/>
      <c r="K24" s="6"/>
    </row>
    <row r="25" spans="1:11" ht="15" x14ac:dyDescent="0.25">
      <c r="A25" s="2"/>
      <c r="B25" s="7" t="s">
        <v>15</v>
      </c>
      <c r="C25" s="8">
        <v>302</v>
      </c>
      <c r="D25" s="8">
        <v>38</v>
      </c>
      <c r="E25" s="8">
        <v>39.69</v>
      </c>
      <c r="F25" s="8">
        <v>7.05</v>
      </c>
      <c r="G25" s="8">
        <v>36</v>
      </c>
      <c r="H25" s="8">
        <v>27.04</v>
      </c>
      <c r="I25" s="8">
        <v>28.31</v>
      </c>
      <c r="J25" s="9">
        <v>0.125828</v>
      </c>
      <c r="K25" s="9">
        <v>0.11920500000000001</v>
      </c>
    </row>
    <row r="26" spans="1:11" ht="14.25" x14ac:dyDescent="0.2">
      <c r="A26" s="2" t="s">
        <v>35</v>
      </c>
      <c r="B26" s="5" t="s">
        <v>36</v>
      </c>
      <c r="C26" s="5">
        <v>1</v>
      </c>
      <c r="D26" s="5">
        <v>0</v>
      </c>
      <c r="E26" s="5"/>
      <c r="F26" s="5"/>
      <c r="G26" s="5">
        <v>0</v>
      </c>
      <c r="H26" s="5"/>
      <c r="I26" s="5"/>
      <c r="J26" s="6"/>
      <c r="K26" s="6"/>
    </row>
    <row r="27" spans="1:11" ht="14.25" x14ac:dyDescent="0.2">
      <c r="A27" s="4"/>
      <c r="B27" s="5" t="s">
        <v>37</v>
      </c>
      <c r="C27" s="5">
        <v>5</v>
      </c>
      <c r="D27" s="5">
        <v>2</v>
      </c>
      <c r="E27" s="5">
        <v>1.62</v>
      </c>
      <c r="F27" s="5">
        <v>4.5</v>
      </c>
      <c r="G27" s="5">
        <v>2</v>
      </c>
      <c r="H27" s="5">
        <v>0.65</v>
      </c>
      <c r="I27" s="5">
        <v>43</v>
      </c>
      <c r="J27" s="6"/>
      <c r="K27" s="6"/>
    </row>
    <row r="28" spans="1:11" ht="14.25" x14ac:dyDescent="0.2">
      <c r="A28" s="4"/>
      <c r="B28" s="5" t="s">
        <v>38</v>
      </c>
      <c r="C28" s="5">
        <v>1</v>
      </c>
      <c r="D28" s="5">
        <v>0</v>
      </c>
      <c r="E28" s="5"/>
      <c r="F28" s="5"/>
      <c r="G28" s="5">
        <v>0</v>
      </c>
      <c r="H28" s="5"/>
      <c r="I28" s="5"/>
      <c r="J28" s="6"/>
      <c r="K28" s="6"/>
    </row>
    <row r="29" spans="1:11" ht="15" x14ac:dyDescent="0.25">
      <c r="A29" s="4"/>
      <c r="B29" s="7" t="s">
        <v>15</v>
      </c>
      <c r="C29" s="8">
        <v>7</v>
      </c>
      <c r="D29" s="8">
        <v>2</v>
      </c>
      <c r="E29" s="8">
        <v>1.62</v>
      </c>
      <c r="F29" s="8">
        <v>4.5</v>
      </c>
      <c r="G29" s="8">
        <v>2</v>
      </c>
      <c r="H29" s="8">
        <v>0.65</v>
      </c>
      <c r="I29" s="8">
        <v>43</v>
      </c>
      <c r="J29" s="9">
        <v>0.28571400000000002</v>
      </c>
      <c r="K29" s="9">
        <v>0.28571400000000002</v>
      </c>
    </row>
    <row r="30" spans="1:11" ht="14.25" x14ac:dyDescent="0.2">
      <c r="A30" s="2" t="s">
        <v>39</v>
      </c>
      <c r="B30" s="5" t="s">
        <v>40</v>
      </c>
      <c r="C30" s="5">
        <v>21</v>
      </c>
      <c r="D30" s="5">
        <v>10</v>
      </c>
      <c r="E30" s="5">
        <v>41.51</v>
      </c>
      <c r="F30" s="5">
        <v>6.6</v>
      </c>
      <c r="G30" s="5">
        <v>10</v>
      </c>
      <c r="H30" s="5">
        <v>1.56</v>
      </c>
      <c r="I30" s="5">
        <v>31.4</v>
      </c>
      <c r="J30" s="6"/>
      <c r="K30" s="6"/>
    </row>
    <row r="31" spans="1:11" ht="14.25" x14ac:dyDescent="0.2">
      <c r="A31" s="4"/>
      <c r="B31" s="5" t="s">
        <v>41</v>
      </c>
      <c r="C31" s="5">
        <v>140</v>
      </c>
      <c r="D31" s="5">
        <v>80</v>
      </c>
      <c r="E31" s="5">
        <v>48.85</v>
      </c>
      <c r="F31" s="5">
        <v>7.21</v>
      </c>
      <c r="G31" s="5">
        <v>80</v>
      </c>
      <c r="H31" s="5">
        <v>5.62</v>
      </c>
      <c r="I31" s="5">
        <v>54.11</v>
      </c>
      <c r="J31" s="6"/>
      <c r="K31" s="6"/>
    </row>
    <row r="32" spans="1:11" ht="14.25" x14ac:dyDescent="0.2">
      <c r="A32" s="4"/>
      <c r="B32" s="5" t="s">
        <v>42</v>
      </c>
      <c r="C32" s="5">
        <v>105</v>
      </c>
      <c r="D32" s="5">
        <v>61</v>
      </c>
      <c r="E32" s="5">
        <v>31.07</v>
      </c>
      <c r="F32" s="5">
        <v>5.28</v>
      </c>
      <c r="G32" s="5">
        <v>61</v>
      </c>
      <c r="H32" s="5">
        <v>0.44</v>
      </c>
      <c r="I32" s="5">
        <v>22.03</v>
      </c>
      <c r="J32" s="6"/>
      <c r="K32" s="6"/>
    </row>
    <row r="33" spans="1:11" ht="14.25" x14ac:dyDescent="0.2">
      <c r="A33" s="4"/>
      <c r="B33" s="5" t="s">
        <v>43</v>
      </c>
      <c r="C33" s="5">
        <v>315</v>
      </c>
      <c r="D33" s="5">
        <v>200</v>
      </c>
      <c r="E33" s="5">
        <v>24.59</v>
      </c>
      <c r="F33" s="5">
        <v>6.28</v>
      </c>
      <c r="G33" s="5">
        <v>200</v>
      </c>
      <c r="H33" s="5">
        <v>1.7</v>
      </c>
      <c r="I33" s="5">
        <v>30.09</v>
      </c>
      <c r="J33" s="6"/>
      <c r="K33" s="6"/>
    </row>
    <row r="34" spans="1:11" ht="14.25" x14ac:dyDescent="0.2">
      <c r="A34" s="4"/>
      <c r="B34" s="5" t="s">
        <v>44</v>
      </c>
      <c r="C34" s="5">
        <v>168</v>
      </c>
      <c r="D34" s="5">
        <v>116</v>
      </c>
      <c r="E34" s="5">
        <v>38.93</v>
      </c>
      <c r="F34" s="5">
        <v>7.37</v>
      </c>
      <c r="G34" s="5">
        <v>116</v>
      </c>
      <c r="H34" s="5">
        <v>3.54</v>
      </c>
      <c r="I34" s="5">
        <v>52.01</v>
      </c>
      <c r="J34" s="6"/>
      <c r="K34" s="6"/>
    </row>
    <row r="35" spans="1:11" ht="14.25" x14ac:dyDescent="0.2">
      <c r="A35" s="4"/>
      <c r="B35" s="5" t="s">
        <v>45</v>
      </c>
      <c r="C35" s="5">
        <v>315</v>
      </c>
      <c r="D35" s="5">
        <v>214</v>
      </c>
      <c r="E35" s="5">
        <v>26.6</v>
      </c>
      <c r="F35" s="5">
        <v>6.83</v>
      </c>
      <c r="G35" s="5">
        <v>214</v>
      </c>
      <c r="H35" s="5">
        <v>2.38</v>
      </c>
      <c r="I35" s="5">
        <v>37.33</v>
      </c>
      <c r="J35" s="6"/>
      <c r="K35" s="6"/>
    </row>
    <row r="36" spans="1:11" ht="14.25" x14ac:dyDescent="0.2">
      <c r="A36" s="4"/>
      <c r="B36" s="5" t="s">
        <v>46</v>
      </c>
      <c r="C36" s="5">
        <v>600</v>
      </c>
      <c r="D36" s="5">
        <v>440</v>
      </c>
      <c r="E36" s="5">
        <v>37.979999999999997</v>
      </c>
      <c r="F36" s="5">
        <v>6.36</v>
      </c>
      <c r="G36" s="5">
        <v>440</v>
      </c>
      <c r="H36" s="5">
        <v>2.52</v>
      </c>
      <c r="I36" s="5">
        <v>43.83</v>
      </c>
      <c r="J36" s="6"/>
      <c r="K36" s="6"/>
    </row>
    <row r="37" spans="1:11" ht="14.25" x14ac:dyDescent="0.2">
      <c r="A37" s="4"/>
      <c r="B37" s="5" t="s">
        <v>47</v>
      </c>
      <c r="C37" s="5">
        <v>700</v>
      </c>
      <c r="D37" s="5">
        <v>404</v>
      </c>
      <c r="E37" s="5">
        <v>55.56</v>
      </c>
      <c r="F37" s="5">
        <v>7.18</v>
      </c>
      <c r="G37" s="5">
        <v>404</v>
      </c>
      <c r="H37" s="5">
        <v>12.26</v>
      </c>
      <c r="I37" s="5">
        <v>59.64</v>
      </c>
      <c r="J37" s="6"/>
      <c r="K37" s="6"/>
    </row>
    <row r="38" spans="1:11" ht="14.25" x14ac:dyDescent="0.2">
      <c r="A38" s="4"/>
      <c r="B38" s="5" t="s">
        <v>48</v>
      </c>
      <c r="C38" s="5">
        <v>560</v>
      </c>
      <c r="D38" s="5">
        <v>408</v>
      </c>
      <c r="E38" s="5">
        <v>29.58</v>
      </c>
      <c r="F38" s="5">
        <v>6.8</v>
      </c>
      <c r="G38" s="5">
        <v>394</v>
      </c>
      <c r="H38" s="5">
        <v>2.7</v>
      </c>
      <c r="I38" s="5">
        <v>31.73</v>
      </c>
      <c r="J38" s="6"/>
      <c r="K38" s="6"/>
    </row>
    <row r="39" spans="1:11" ht="15" x14ac:dyDescent="0.25">
      <c r="A39" s="4"/>
      <c r="B39" s="7" t="s">
        <v>15</v>
      </c>
      <c r="C39" s="8">
        <v>2924</v>
      </c>
      <c r="D39" s="8">
        <v>1933</v>
      </c>
      <c r="E39" s="8">
        <v>37.54</v>
      </c>
      <c r="F39" s="8">
        <v>6.73</v>
      </c>
      <c r="G39" s="8">
        <v>1919</v>
      </c>
      <c r="H39" s="8">
        <v>4.62</v>
      </c>
      <c r="I39" s="8">
        <v>42.68</v>
      </c>
      <c r="J39" s="9">
        <v>0.66108100000000003</v>
      </c>
      <c r="K39" s="9">
        <v>0.65629300000000002</v>
      </c>
    </row>
    <row r="40" spans="1:11" ht="14.25" x14ac:dyDescent="0.2">
      <c r="A40" s="2" t="s">
        <v>49</v>
      </c>
      <c r="B40" s="5" t="s">
        <v>50</v>
      </c>
      <c r="C40" s="5">
        <v>7</v>
      </c>
      <c r="D40" s="5">
        <v>1</v>
      </c>
      <c r="E40" s="5">
        <v>1.49</v>
      </c>
      <c r="F40" s="5">
        <v>3</v>
      </c>
      <c r="G40" s="5">
        <v>1</v>
      </c>
      <c r="H40" s="5">
        <v>5.28</v>
      </c>
      <c r="I40" s="5">
        <v>65</v>
      </c>
      <c r="J40" s="6"/>
      <c r="K40" s="6"/>
    </row>
    <row r="41" spans="1:11" ht="14.25" x14ac:dyDescent="0.2">
      <c r="A41" s="4"/>
      <c r="B41" s="5" t="s">
        <v>51</v>
      </c>
      <c r="C41" s="5">
        <v>1</v>
      </c>
      <c r="D41" s="5">
        <v>1</v>
      </c>
      <c r="E41" s="5">
        <v>33.46</v>
      </c>
      <c r="F41" s="5">
        <v>9</v>
      </c>
      <c r="G41" s="5">
        <v>1</v>
      </c>
      <c r="H41" s="5">
        <v>1.38</v>
      </c>
      <c r="I41" s="5">
        <v>26</v>
      </c>
      <c r="J41" s="6"/>
      <c r="K41" s="6"/>
    </row>
    <row r="42" spans="1:11" ht="15" x14ac:dyDescent="0.25">
      <c r="A42" s="4"/>
      <c r="B42" s="7" t="s">
        <v>15</v>
      </c>
      <c r="C42" s="8">
        <v>8</v>
      </c>
      <c r="D42" s="8">
        <v>2</v>
      </c>
      <c r="E42" s="8">
        <v>17.48</v>
      </c>
      <c r="F42" s="8">
        <v>6</v>
      </c>
      <c r="G42" s="8">
        <v>2</v>
      </c>
      <c r="H42" s="8">
        <v>3.33</v>
      </c>
      <c r="I42" s="8">
        <v>45.5</v>
      </c>
      <c r="J42" s="9">
        <v>0.25</v>
      </c>
      <c r="K42" s="9">
        <v>0.25</v>
      </c>
    </row>
    <row r="43" spans="1:11" ht="15.75" x14ac:dyDescent="0.25">
      <c r="A43" s="11" t="s">
        <v>15</v>
      </c>
      <c r="B43" s="11"/>
      <c r="C43" s="12">
        <v>3720</v>
      </c>
      <c r="D43" s="12">
        <f>D6+D25+D29+D39+D42</f>
        <v>2153</v>
      </c>
      <c r="E43" s="12">
        <v>33.57</v>
      </c>
      <c r="F43" s="12">
        <v>8.0399999999999991</v>
      </c>
      <c r="G43" s="12">
        <f>G6+G25+G29+G39+G42</f>
        <v>2135</v>
      </c>
      <c r="H43" s="12">
        <v>4.34</v>
      </c>
      <c r="I43" s="12">
        <v>46.17</v>
      </c>
      <c r="J43" s="9">
        <f>D43/C43</f>
        <v>0.57876344086021503</v>
      </c>
      <c r="K43" s="9">
        <f>G43/C43</f>
        <v>0.57392473118279574</v>
      </c>
    </row>
  </sheetData>
  <mergeCells count="7">
    <mergeCell ref="A43:B43"/>
    <mergeCell ref="A1:K1"/>
    <mergeCell ref="A2:A6"/>
    <mergeCell ref="A7:A25"/>
    <mergeCell ref="A26:A29"/>
    <mergeCell ref="A30:A39"/>
    <mergeCell ref="A40:A42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53</v>
      </c>
      <c r="B2">
        <v>30</v>
      </c>
      <c r="C2">
        <v>30</v>
      </c>
      <c r="D2">
        <v>5.13</v>
      </c>
      <c r="E2">
        <v>3</v>
      </c>
      <c r="F2">
        <v>30</v>
      </c>
      <c r="G2">
        <v>10.64</v>
      </c>
      <c r="H2">
        <v>93</v>
      </c>
    </row>
    <row r="3" spans="1:8" x14ac:dyDescent="0.15">
      <c r="A3" t="s">
        <v>54</v>
      </c>
      <c r="B3">
        <v>385</v>
      </c>
      <c r="C3">
        <v>366</v>
      </c>
      <c r="D3">
        <v>19.18</v>
      </c>
      <c r="E3">
        <v>16.25</v>
      </c>
      <c r="F3">
        <v>364</v>
      </c>
      <c r="G3">
        <v>0.66</v>
      </c>
      <c r="H3">
        <v>64.900000000000006</v>
      </c>
    </row>
    <row r="4" spans="1:8" x14ac:dyDescent="0.15">
      <c r="A4" t="s">
        <v>55</v>
      </c>
      <c r="B4">
        <v>64</v>
      </c>
      <c r="C4">
        <v>52</v>
      </c>
      <c r="D4">
        <v>0.74</v>
      </c>
      <c r="E4">
        <v>3</v>
      </c>
      <c r="F4">
        <v>52</v>
      </c>
      <c r="G4">
        <v>0.32</v>
      </c>
      <c r="H4">
        <v>29.08</v>
      </c>
    </row>
    <row r="5" spans="1:8" x14ac:dyDescent="0.15">
      <c r="B5">
        <v>479</v>
      </c>
      <c r="C5">
        <v>448</v>
      </c>
      <c r="D5">
        <v>16.100000000000001</v>
      </c>
      <c r="E5">
        <v>13.83</v>
      </c>
      <c r="F5">
        <v>446</v>
      </c>
      <c r="G5">
        <v>1.29</v>
      </c>
      <c r="H5">
        <v>62.61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56</v>
      </c>
      <c r="B2">
        <v>7</v>
      </c>
      <c r="C2">
        <v>1</v>
      </c>
      <c r="D2">
        <v>5.51</v>
      </c>
      <c r="E2">
        <v>9</v>
      </c>
      <c r="F2">
        <v>1</v>
      </c>
      <c r="G2">
        <v>2.08</v>
      </c>
      <c r="H2">
        <v>26</v>
      </c>
    </row>
    <row r="3" spans="1:8" x14ac:dyDescent="0.15">
      <c r="A3" t="s">
        <v>57</v>
      </c>
      <c r="B3">
        <v>7</v>
      </c>
      <c r="C3">
        <v>2</v>
      </c>
      <c r="D3">
        <v>92.79</v>
      </c>
      <c r="E3">
        <v>13.5</v>
      </c>
      <c r="F3">
        <v>2</v>
      </c>
      <c r="G3">
        <v>1.4</v>
      </c>
      <c r="H3">
        <v>29.5</v>
      </c>
    </row>
    <row r="4" spans="1:8" x14ac:dyDescent="0.15">
      <c r="A4" t="s">
        <v>58</v>
      </c>
      <c r="B4">
        <v>7</v>
      </c>
      <c r="C4">
        <v>2</v>
      </c>
      <c r="D4">
        <v>103.3</v>
      </c>
      <c r="E4">
        <v>11</v>
      </c>
      <c r="F4">
        <v>2</v>
      </c>
      <c r="G4">
        <v>2.0099999999999998</v>
      </c>
      <c r="H4">
        <v>47</v>
      </c>
    </row>
    <row r="5" spans="1:8" x14ac:dyDescent="0.15">
      <c r="A5" t="s">
        <v>59</v>
      </c>
      <c r="B5">
        <v>7</v>
      </c>
      <c r="C5">
        <v>2</v>
      </c>
      <c r="D5">
        <v>18.96</v>
      </c>
      <c r="E5">
        <v>8.5</v>
      </c>
      <c r="F5">
        <v>2</v>
      </c>
      <c r="G5">
        <v>0.66</v>
      </c>
      <c r="H5">
        <v>22.5</v>
      </c>
    </row>
    <row r="6" spans="1:8" x14ac:dyDescent="0.15">
      <c r="A6" t="s">
        <v>60</v>
      </c>
      <c r="B6">
        <v>5</v>
      </c>
      <c r="C6">
        <v>1</v>
      </c>
      <c r="D6">
        <v>1.25</v>
      </c>
      <c r="E6">
        <v>4</v>
      </c>
      <c r="F6">
        <v>1</v>
      </c>
      <c r="G6">
        <v>0.54</v>
      </c>
      <c r="H6">
        <v>14</v>
      </c>
    </row>
    <row r="7" spans="1:8" x14ac:dyDescent="0.15">
      <c r="A7" t="s">
        <v>61</v>
      </c>
      <c r="B7">
        <v>7</v>
      </c>
      <c r="C7">
        <v>0</v>
      </c>
      <c r="F7">
        <v>0</v>
      </c>
    </row>
    <row r="8" spans="1:8" x14ac:dyDescent="0.15">
      <c r="A8" t="s">
        <v>62</v>
      </c>
      <c r="B8">
        <v>7</v>
      </c>
      <c r="C8">
        <v>1</v>
      </c>
      <c r="D8">
        <v>2.74</v>
      </c>
      <c r="E8">
        <v>8</v>
      </c>
      <c r="F8">
        <v>1</v>
      </c>
      <c r="G8">
        <v>1.25</v>
      </c>
      <c r="H8">
        <v>12</v>
      </c>
    </row>
    <row r="9" spans="1:8" x14ac:dyDescent="0.15">
      <c r="A9" t="s">
        <v>63</v>
      </c>
      <c r="B9">
        <v>7</v>
      </c>
      <c r="C9">
        <v>1</v>
      </c>
      <c r="D9">
        <v>34.659999999999997</v>
      </c>
      <c r="E9">
        <v>13</v>
      </c>
      <c r="F9">
        <v>1</v>
      </c>
      <c r="G9">
        <v>1.1499999999999999</v>
      </c>
      <c r="H9">
        <v>16</v>
      </c>
    </row>
    <row r="10" spans="1:8" x14ac:dyDescent="0.15">
      <c r="A10" t="s">
        <v>64</v>
      </c>
      <c r="B10">
        <v>7</v>
      </c>
      <c r="C10">
        <v>7</v>
      </c>
      <c r="D10">
        <v>64.56</v>
      </c>
      <c r="E10">
        <v>6.86</v>
      </c>
      <c r="F10">
        <v>7</v>
      </c>
      <c r="G10">
        <v>3.39</v>
      </c>
      <c r="H10">
        <v>49</v>
      </c>
    </row>
    <row r="11" spans="1:8" x14ac:dyDescent="0.15">
      <c r="A11" t="s">
        <v>65</v>
      </c>
      <c r="B11">
        <v>15</v>
      </c>
      <c r="C11">
        <v>5</v>
      </c>
      <c r="D11">
        <v>3.3</v>
      </c>
      <c r="E11">
        <v>4.5999999999999996</v>
      </c>
      <c r="F11">
        <v>4</v>
      </c>
      <c r="G11">
        <v>231.2</v>
      </c>
      <c r="H11">
        <v>18</v>
      </c>
    </row>
    <row r="12" spans="1:8" x14ac:dyDescent="0.15">
      <c r="A12" t="s">
        <v>66</v>
      </c>
      <c r="B12">
        <v>7</v>
      </c>
      <c r="C12">
        <v>4</v>
      </c>
      <c r="D12">
        <v>126.91</v>
      </c>
      <c r="E12">
        <v>8</v>
      </c>
      <c r="F12">
        <v>4</v>
      </c>
      <c r="G12">
        <v>2.02</v>
      </c>
      <c r="H12">
        <v>34.75</v>
      </c>
    </row>
    <row r="13" spans="1:8" x14ac:dyDescent="0.15">
      <c r="A13" t="s">
        <v>67</v>
      </c>
      <c r="B13">
        <v>7</v>
      </c>
      <c r="C13">
        <v>0</v>
      </c>
      <c r="F13">
        <v>0</v>
      </c>
    </row>
    <row r="14" spans="1:8" x14ac:dyDescent="0.15">
      <c r="A14" t="s">
        <v>68</v>
      </c>
      <c r="B14">
        <v>6</v>
      </c>
      <c r="C14">
        <v>0</v>
      </c>
      <c r="F14">
        <v>0</v>
      </c>
    </row>
    <row r="15" spans="1:8" x14ac:dyDescent="0.15">
      <c r="A15" t="s">
        <v>69</v>
      </c>
      <c r="B15">
        <v>6</v>
      </c>
      <c r="C15">
        <v>0</v>
      </c>
      <c r="F15">
        <v>0</v>
      </c>
    </row>
    <row r="16" spans="1:8" x14ac:dyDescent="0.15">
      <c r="A16" t="s">
        <v>70</v>
      </c>
      <c r="B16">
        <v>7</v>
      </c>
      <c r="C16">
        <v>0</v>
      </c>
      <c r="F16">
        <v>0</v>
      </c>
    </row>
    <row r="17" spans="1:8" x14ac:dyDescent="0.15">
      <c r="A17" t="s">
        <v>71</v>
      </c>
      <c r="B17">
        <v>6</v>
      </c>
      <c r="C17">
        <v>1</v>
      </c>
      <c r="D17">
        <v>3.42</v>
      </c>
      <c r="E17">
        <v>6</v>
      </c>
      <c r="F17">
        <v>1</v>
      </c>
      <c r="G17">
        <v>0.49</v>
      </c>
      <c r="H17">
        <v>11</v>
      </c>
    </row>
    <row r="18" spans="1:8" x14ac:dyDescent="0.15">
      <c r="A18" t="s">
        <v>72</v>
      </c>
      <c r="B18">
        <v>180</v>
      </c>
      <c r="C18">
        <v>7</v>
      </c>
      <c r="D18">
        <v>1.36</v>
      </c>
      <c r="E18">
        <v>4.71</v>
      </c>
      <c r="F18">
        <v>7</v>
      </c>
      <c r="G18">
        <v>0.37</v>
      </c>
      <c r="H18">
        <v>22</v>
      </c>
    </row>
    <row r="19" spans="1:8" x14ac:dyDescent="0.15">
      <c r="A19" t="s">
        <v>73</v>
      </c>
      <c r="B19">
        <v>7</v>
      </c>
      <c r="C19">
        <v>4</v>
      </c>
      <c r="D19">
        <v>11.22</v>
      </c>
      <c r="E19">
        <v>6.5</v>
      </c>
      <c r="F19">
        <v>3</v>
      </c>
      <c r="G19">
        <v>0.24</v>
      </c>
      <c r="H19">
        <v>11.33</v>
      </c>
    </row>
    <row r="20" spans="1:8" x14ac:dyDescent="0.15">
      <c r="B20">
        <v>302</v>
      </c>
      <c r="C20">
        <v>38</v>
      </c>
      <c r="D20">
        <v>39.69</v>
      </c>
      <c r="E20">
        <v>7.05</v>
      </c>
      <c r="F20">
        <v>36</v>
      </c>
      <c r="G20">
        <v>27.04</v>
      </c>
      <c r="H20">
        <v>28.31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74</v>
      </c>
      <c r="B2">
        <v>1</v>
      </c>
      <c r="C2">
        <v>0</v>
      </c>
      <c r="F2">
        <v>0</v>
      </c>
    </row>
    <row r="3" spans="1:8" x14ac:dyDescent="0.15">
      <c r="A3" t="s">
        <v>75</v>
      </c>
      <c r="B3">
        <v>5</v>
      </c>
      <c r="C3">
        <v>2</v>
      </c>
      <c r="D3">
        <v>1.62</v>
      </c>
      <c r="E3">
        <v>4.5</v>
      </c>
      <c r="F3">
        <v>2</v>
      </c>
      <c r="G3">
        <v>0.65</v>
      </c>
      <c r="H3">
        <v>43</v>
      </c>
    </row>
    <row r="4" spans="1:8" x14ac:dyDescent="0.15">
      <c r="A4" t="s">
        <v>76</v>
      </c>
      <c r="B4">
        <v>1</v>
      </c>
      <c r="C4">
        <v>0</v>
      </c>
      <c r="F4">
        <v>0</v>
      </c>
    </row>
    <row r="5" spans="1:8" x14ac:dyDescent="0.15">
      <c r="B5">
        <v>7</v>
      </c>
      <c r="C5">
        <v>2</v>
      </c>
      <c r="D5">
        <v>1.62</v>
      </c>
      <c r="E5">
        <v>4.5</v>
      </c>
      <c r="F5">
        <v>2</v>
      </c>
      <c r="G5">
        <v>0.65</v>
      </c>
      <c r="H5">
        <v>43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77</v>
      </c>
      <c r="B2">
        <v>21</v>
      </c>
      <c r="C2">
        <v>10</v>
      </c>
      <c r="D2">
        <v>41.51</v>
      </c>
      <c r="E2">
        <v>6.6</v>
      </c>
      <c r="F2">
        <v>10</v>
      </c>
      <c r="G2">
        <v>1.56</v>
      </c>
      <c r="H2">
        <v>31.4</v>
      </c>
    </row>
    <row r="3" spans="1:8" x14ac:dyDescent="0.15">
      <c r="A3" t="s">
        <v>78</v>
      </c>
      <c r="B3">
        <v>140</v>
      </c>
      <c r="C3">
        <v>80</v>
      </c>
      <c r="D3">
        <v>48.85</v>
      </c>
      <c r="E3">
        <v>7.21</v>
      </c>
      <c r="F3">
        <v>80</v>
      </c>
      <c r="G3">
        <v>5.62</v>
      </c>
      <c r="H3">
        <v>54.11</v>
      </c>
    </row>
    <row r="4" spans="1:8" x14ac:dyDescent="0.15">
      <c r="A4" t="s">
        <v>79</v>
      </c>
      <c r="B4">
        <v>105</v>
      </c>
      <c r="C4">
        <v>61</v>
      </c>
      <c r="D4">
        <v>31.07</v>
      </c>
      <c r="E4">
        <v>5.28</v>
      </c>
      <c r="F4">
        <v>61</v>
      </c>
      <c r="G4">
        <v>0.44</v>
      </c>
      <c r="H4">
        <v>22.03</v>
      </c>
    </row>
    <row r="5" spans="1:8" x14ac:dyDescent="0.15">
      <c r="A5" t="s">
        <v>80</v>
      </c>
      <c r="B5">
        <v>315</v>
      </c>
      <c r="C5">
        <v>200</v>
      </c>
      <c r="D5">
        <v>24.59</v>
      </c>
      <c r="E5">
        <v>6.28</v>
      </c>
      <c r="F5">
        <v>200</v>
      </c>
      <c r="G5">
        <v>1.7</v>
      </c>
      <c r="H5">
        <v>30.09</v>
      </c>
    </row>
    <row r="6" spans="1:8" x14ac:dyDescent="0.15">
      <c r="A6" t="s">
        <v>81</v>
      </c>
      <c r="B6">
        <v>168</v>
      </c>
      <c r="C6">
        <v>116</v>
      </c>
      <c r="D6">
        <v>38.93</v>
      </c>
      <c r="E6">
        <v>7.37</v>
      </c>
      <c r="F6">
        <v>116</v>
      </c>
      <c r="G6">
        <v>3.54</v>
      </c>
      <c r="H6">
        <v>52.01</v>
      </c>
    </row>
    <row r="7" spans="1:8" x14ac:dyDescent="0.15">
      <c r="A7" t="s">
        <v>82</v>
      </c>
      <c r="B7">
        <v>315</v>
      </c>
      <c r="C7">
        <v>214</v>
      </c>
      <c r="D7">
        <v>26.6</v>
      </c>
      <c r="E7">
        <v>6.83</v>
      </c>
      <c r="F7">
        <v>214</v>
      </c>
      <c r="G7">
        <v>2.38</v>
      </c>
      <c r="H7">
        <v>37.33</v>
      </c>
    </row>
    <row r="8" spans="1:8" x14ac:dyDescent="0.15">
      <c r="A8" t="s">
        <v>83</v>
      </c>
      <c r="B8">
        <v>600</v>
      </c>
      <c r="C8">
        <v>440</v>
      </c>
      <c r="D8">
        <v>37.979999999999997</v>
      </c>
      <c r="E8">
        <v>6.36</v>
      </c>
      <c r="F8">
        <v>440</v>
      </c>
      <c r="G8">
        <v>2.52</v>
      </c>
      <c r="H8">
        <v>43.83</v>
      </c>
    </row>
    <row r="9" spans="1:8" x14ac:dyDescent="0.15">
      <c r="A9" t="s">
        <v>84</v>
      </c>
      <c r="B9">
        <v>700</v>
      </c>
      <c r="C9">
        <v>404</v>
      </c>
      <c r="D9">
        <v>55.56</v>
      </c>
      <c r="E9">
        <v>7.18</v>
      </c>
      <c r="F9">
        <v>404</v>
      </c>
      <c r="G9">
        <v>12.26</v>
      </c>
      <c r="H9">
        <v>59.64</v>
      </c>
    </row>
    <row r="10" spans="1:8" x14ac:dyDescent="0.15">
      <c r="A10" t="s">
        <v>85</v>
      </c>
      <c r="B10">
        <v>560</v>
      </c>
      <c r="C10">
        <v>408</v>
      </c>
      <c r="D10">
        <v>29.58</v>
      </c>
      <c r="E10">
        <v>6.8</v>
      </c>
      <c r="F10">
        <v>394</v>
      </c>
      <c r="G10">
        <v>2.7</v>
      </c>
      <c r="H10">
        <v>31.73</v>
      </c>
    </row>
    <row r="11" spans="1:8" x14ac:dyDescent="0.15">
      <c r="B11">
        <v>2924</v>
      </c>
      <c r="C11">
        <v>1933</v>
      </c>
      <c r="D11">
        <v>37.54</v>
      </c>
      <c r="E11">
        <v>6.73</v>
      </c>
      <c r="F11">
        <v>1919</v>
      </c>
      <c r="G11">
        <v>4.62</v>
      </c>
      <c r="H11">
        <v>42.68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86</v>
      </c>
      <c r="B2">
        <v>7</v>
      </c>
      <c r="C2">
        <v>1</v>
      </c>
      <c r="D2">
        <v>1.49</v>
      </c>
      <c r="E2">
        <v>3</v>
      </c>
      <c r="F2">
        <v>1</v>
      </c>
      <c r="G2">
        <v>5.28</v>
      </c>
      <c r="H2">
        <v>65</v>
      </c>
    </row>
    <row r="3" spans="1:8" x14ac:dyDescent="0.15">
      <c r="A3" t="s">
        <v>87</v>
      </c>
      <c r="B3">
        <v>1</v>
      </c>
      <c r="C3">
        <v>1</v>
      </c>
      <c r="D3">
        <v>33.46</v>
      </c>
      <c r="E3">
        <v>9</v>
      </c>
      <c r="F3">
        <v>1</v>
      </c>
      <c r="G3">
        <v>1.38</v>
      </c>
      <c r="H3">
        <v>26</v>
      </c>
    </row>
    <row r="4" spans="1:8" x14ac:dyDescent="0.15">
      <c r="B4">
        <v>8</v>
      </c>
      <c r="C4">
        <v>2</v>
      </c>
      <c r="D4">
        <v>17.48</v>
      </c>
      <c r="E4">
        <v>6</v>
      </c>
      <c r="F4">
        <v>2</v>
      </c>
      <c r="G4">
        <v>3.33</v>
      </c>
      <c r="H4">
        <v>45.5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/>
  </sheetViews>
  <sheetFormatPr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88</v>
      </c>
      <c r="B2">
        <v>479</v>
      </c>
      <c r="C2">
        <v>448</v>
      </c>
      <c r="D2">
        <v>16.100000000000001</v>
      </c>
      <c r="E2">
        <v>13.83</v>
      </c>
      <c r="F2">
        <v>446</v>
      </c>
      <c r="G2">
        <v>1.29</v>
      </c>
      <c r="H2">
        <v>62.61</v>
      </c>
    </row>
    <row r="3" spans="1:8" x14ac:dyDescent="0.15">
      <c r="A3" t="s">
        <v>89</v>
      </c>
      <c r="B3">
        <v>302</v>
      </c>
      <c r="C3">
        <v>38</v>
      </c>
      <c r="D3">
        <v>39.69</v>
      </c>
      <c r="E3">
        <v>7.05</v>
      </c>
      <c r="F3">
        <v>36</v>
      </c>
      <c r="G3">
        <v>27.04</v>
      </c>
      <c r="H3">
        <v>28.31</v>
      </c>
    </row>
    <row r="4" spans="1:8" x14ac:dyDescent="0.15">
      <c r="A4" t="s">
        <v>90</v>
      </c>
      <c r="B4">
        <v>7</v>
      </c>
      <c r="C4">
        <v>2</v>
      </c>
      <c r="D4">
        <v>1.62</v>
      </c>
      <c r="E4">
        <v>4.5</v>
      </c>
      <c r="F4">
        <v>2</v>
      </c>
      <c r="G4">
        <v>0.65</v>
      </c>
      <c r="H4">
        <v>43</v>
      </c>
    </row>
    <row r="5" spans="1:8" x14ac:dyDescent="0.15">
      <c r="A5" t="s">
        <v>91</v>
      </c>
      <c r="B5">
        <v>2924</v>
      </c>
      <c r="C5">
        <v>1933</v>
      </c>
      <c r="D5">
        <v>37.54</v>
      </c>
      <c r="E5">
        <v>6.73</v>
      </c>
      <c r="F5">
        <v>1919</v>
      </c>
      <c r="G5">
        <v>4.62</v>
      </c>
      <c r="H5">
        <v>42.68</v>
      </c>
    </row>
    <row r="6" spans="1:8" x14ac:dyDescent="0.15">
      <c r="A6" t="s">
        <v>92</v>
      </c>
      <c r="B6">
        <v>8</v>
      </c>
      <c r="C6">
        <v>2</v>
      </c>
      <c r="D6">
        <v>17.48</v>
      </c>
      <c r="E6">
        <v>6</v>
      </c>
      <c r="F6">
        <v>2</v>
      </c>
      <c r="G6">
        <v>3.33</v>
      </c>
      <c r="H6">
        <v>45.5</v>
      </c>
    </row>
    <row r="7" spans="1:8" x14ac:dyDescent="0.15">
      <c r="A7" t="s">
        <v>15</v>
      </c>
      <c r="B7">
        <v>3720</v>
      </c>
      <c r="C7">
        <v>2423</v>
      </c>
      <c r="D7">
        <v>33.57</v>
      </c>
      <c r="E7">
        <v>8.0399999999999991</v>
      </c>
      <c r="F7">
        <v>2405</v>
      </c>
      <c r="G7">
        <v>4.34</v>
      </c>
      <c r="H7">
        <v>46.17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1.sub</vt:lpstr>
      <vt:lpstr>2.nim</vt:lpstr>
      <vt:lpstr>3.welter</vt:lpstr>
      <vt:lpstr>4.wythoff</vt:lpstr>
      <vt:lpstr>5.chomp</vt:lpstr>
      <vt:lpstr>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hao luo</cp:lastModifiedBy>
  <dcterms:created xsi:type="dcterms:W3CDTF">2026-06-17T14:31:17Z</dcterms:created>
  <dcterms:modified xsi:type="dcterms:W3CDTF">2026-06-17T17:34:27Z</dcterms:modified>
</cp:coreProperties>
</file>